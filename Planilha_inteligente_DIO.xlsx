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atriz Liscano Rech\Documents\"/>
    </mc:Choice>
  </mc:AlternateContent>
  <xr:revisionPtr revIDLastSave="0" documentId="13_ncr:1_{E6600BF2-C96E-4541-8F4A-567761AFA8E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dos" sheetId="1" r:id="rId1"/>
    <sheet name="Controller" sheetId="2" r:id="rId2"/>
    <sheet name="Caixinha" sheetId="4" r:id="rId3"/>
    <sheet name="Dashboard" sheetId="3" r:id="rId4"/>
  </sheets>
  <definedNames>
    <definedName name="entrada">Controller!$H$1:$I$8</definedName>
    <definedName name="SegmentaçãodeDados_Mês">#N/A</definedName>
  </definedNames>
  <calcPr calcId="191028"/>
  <pivotCaches>
    <pivotCache cacheId="7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N4" i="2"/>
  <c r="N15" i="3" s="1"/>
  <c r="N3" i="2"/>
  <c r="N14" i="3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N5" i="2" l="1"/>
  <c r="N16" i="3" s="1"/>
</calcChain>
</file>

<file path=xl/sharedStrings.xml><?xml version="1.0" encoding="utf-8"?>
<sst xmlns="http://schemas.openxmlformats.org/spreadsheetml/2006/main" count="270" uniqueCount="88">
  <si>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</si>
  <si>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</si>
  <si>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</si>
  <si>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</si>
  <si>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</si>
  <si>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</si>
  <si>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</si>
  <si>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</si>
  <si>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</si>
  <si>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</si>
  <si>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</si>
  <si>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</si>
  <si>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</si>
  <si>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</si>
  <si>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</si>
  <si>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</si>
  <si>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</si>
  <si>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</si>
  <si>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</si>
  <si>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</si>
  <si>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</si>
  <si>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</si>
  <si>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</si>
  <si>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</si>
  <si>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</si>
  <si>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</si>
  <si>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</si>
  <si>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</si>
  <si>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</si>
  <si>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</si>
  <si>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</si>
  <si>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</si>
  <si>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</si>
  <si>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</si>
  <si>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</si>
  <si>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</si>
  <si>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</si>
  <si>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</si>
  <si>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</si>
  <si>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</si>
  <si>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</si>
  <si>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</si>
  <si>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</si>
  <si>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</si>
  <si>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</si>
  <si>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</si>
  <si>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</si>
  <si>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</si>
  <si>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</si>
  <si>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</si>
  <si>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</si>
  <si>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</si>
  <si>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</si>
  <si>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</si>
  <si>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</si>
  <si>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</si>
  <si>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</si>
  <si>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</si>
  <si>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</si>
  <si>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</si>
  <si>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</si>
  <si>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</si>
  <si>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</si>
  <si>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</si>
  <si>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</si>
  <si>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Data</t>
  </si>
  <si>
    <t>Tipo</t>
  </si>
  <si>
    <t>Categoria</t>
  </si>
  <si>
    <t>Descrição</t>
  </si>
  <si>
    <t>Valor</t>
  </si>
  <si>
    <t>Operação Bancária</t>
  </si>
  <si>
    <t>Status</t>
  </si>
  <si>
    <t>Rótulos de Linha</t>
  </si>
  <si>
    <t>Total Geral</t>
  </si>
  <si>
    <t>Soma de Valor</t>
  </si>
  <si>
    <t>Mês</t>
  </si>
  <si>
    <t>Acompanhamento Financeiro</t>
  </si>
  <si>
    <t>Saldo</t>
  </si>
  <si>
    <t>Entrada</t>
  </si>
  <si>
    <t>Saída</t>
  </si>
  <si>
    <t>ENTRADAS</t>
  </si>
  <si>
    <t>SALDO</t>
  </si>
  <si>
    <t/>
  </si>
  <si>
    <t>Total Reservado</t>
  </si>
  <si>
    <t>Meta de Reserva</t>
  </si>
  <si>
    <t>Data de Lançamento</t>
  </si>
  <si>
    <t>Depósito Reservado</t>
  </si>
  <si>
    <t>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</si>
</sst>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5" formatCode="&quot;R$&quot;\ #,##0.00"/>
    <numFmt numFmtId="167" formatCode="&quot;R$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4472C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5" borderId="0" xfId="0" applyFont="1" applyFill="1" applyAlignment="1">
      <alignment horizontal="left" vertical="center"/>
    </xf>
    <xf numFmtId="165" fontId="0" fillId="0" borderId="0" xfId="0" applyNumberFormat="1"/>
    <xf numFmtId="167" fontId="0" fillId="0" borderId="0" xfId="0" applyNumberFormat="1"/>
    <xf numFmtId="0" fontId="5" fillId="3" borderId="0" xfId="0" applyFont="1" applyFill="1"/>
    <xf numFmtId="165" fontId="5" fillId="3" borderId="0" xfId="0" applyNumberFormat="1" applyFont="1" applyFill="1"/>
    <xf numFmtId="0" fontId="0" fillId="3" borderId="0" xfId="0" quotePrefix="1" applyFill="1"/>
    <xf numFmtId="0" fontId="6" fillId="3" borderId="0" xfId="0" applyFont="1" applyFill="1"/>
    <xf numFmtId="0" fontId="7" fillId="3" borderId="0" xfId="0" applyFont="1" applyFill="1"/>
    <xf numFmtId="0" fontId="3" fillId="2" borderId="0" xfId="0" applyFont="1" applyFill="1"/>
    <xf numFmtId="1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numFmt numFmtId="165" formatCode="&quot;R$&quot;\ #,##0.0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numFmt numFmtId="165" formatCode="&quot;R$&quot;\ #,##0.0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2" defaultTableStyle="TableStyleMedium2" defaultPivotStyle="PivotStyleLight16">
    <tableStyle name="Estilo de Segmentação de Dados 1" pivot="0" table="0" count="2" xr9:uid="{68C5D56B-3028-43BC-A5F1-6A24FA621AAF}"/>
    <tableStyle name="stilo_dio" pivot="0" table="0" count="10" xr9:uid="{1415C016-3E90-4934-8E66-7BC4871DBBCF}">
      <tableStyleElement type="wholeTable" dxfId="5"/>
      <tableStyleElement type="headerRow" dxfId="4"/>
    </tableStyle>
  </tableStyles>
  <colors>
    <mruColors>
      <color rgb="FF4472C4"/>
      <color rgb="FF404040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2"/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b/>
            <i val="0"/>
            <sz val="12"/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sz val="12"/>
          </font>
        </dxf>
        <dxf>
          <font>
            <sz val="12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8"/>
            <x14:slicerStyleElement type="selectedItemWithNoData" dxfId="9"/>
          </x14:slicerStyleElements>
        </x14:slicerStyle>
        <x14:slicerStyle name="stilo_di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[Planilha_inteligente_DIO.xlsx]Controller!Tabela dinâmica1</c:name>
    <c:fmtId val="13"/>
  </c:pivotSource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bg1"/>
              </a:bgClr>
            </a:patt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Controller!$A$4:$A$19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Controller!$B$4:$B$19</c:f>
              <c:numCache>
                <c:formatCode>_("R$"* #,##0.00_);_("R$"* \(#,##0.00\);_("R$"* "-"??_);_(@_)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F-47DF-9274-2DFA0E13D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0"/>
        <c:axId val="850272848"/>
        <c:axId val="850273328"/>
      </c:barChart>
      <c:catAx>
        <c:axId val="85027284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273328"/>
        <c:crosses val="autoZero"/>
        <c:auto val="1"/>
        <c:lblAlgn val="ctr"/>
        <c:lblOffset val="100"/>
        <c:noMultiLvlLbl val="0"/>
      </c:catAx>
      <c:valAx>
        <c:axId val="85027332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027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[Planilha_inteligente_DIO.xlsx]Controller!Tabela dinâmica2</c:name>
    <c:fmtId val="13"/>
  </c:pivotSource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Controller!$I$3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bg1"/>
              </a:bgClr>
            </a:patt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Controller!$H$4:$H$8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Controller!$I$4:$I$8</c:f>
              <c:numCache>
                <c:formatCode>_("R$"* #,##0.00_);_("R$"* \(#,##0.00\);_("R$"* "-"??_);_(@_)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1-4EF8-AE13-7C13C314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40"/>
        <c:axId val="695803952"/>
        <c:axId val="695802512"/>
      </c:barChart>
      <c:catAx>
        <c:axId val="69580395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5802512"/>
        <c:crosses val="autoZero"/>
        <c:auto val="1"/>
        <c:lblAlgn val="ctr"/>
        <c:lblOffset val="100"/>
        <c:noMultiLvlLbl val="0"/>
      </c:catAx>
      <c:valAx>
        <c:axId val="69580251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958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685185185185186"/>
        </c:manualLayout>
      </c:layout>
      <c:barChart>
        <c:barDir val="col"/>
        <c:grouping val="stacked"/>
        <c:varyColors val="0"/>
        <c:ser>
          <c:idx val="1"/>
          <c:order val="1"/>
          <c:spPr>
            <a:pattFill prst="narHorz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Caixinha!$C$5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B-47E5-B4B6-3A9B1C8DD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17590687"/>
        <c:axId val="1317574367"/>
      </c:barChart>
      <c:barChart>
        <c:barDir val="col"/>
        <c:grouping val="stack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>
              <a:glow rad="63500">
                <a:srgbClr val="00B0F0">
                  <a:alpha val="25000"/>
                </a:srgbClr>
              </a:glo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95372786474756"/>
                      <c:h val="0.138240757400474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E1B-47E5-B4B6-3A9B1C8DD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Caixinha!$C$4</c:f>
              <c:numCache>
                <c:formatCode>"R$"\ #,##0.00</c:formatCode>
                <c:ptCount val="1"/>
                <c:pt idx="0">
                  <c:v>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1B-47E5-B4B6-3A9B1C8DD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17562847"/>
        <c:axId val="1317565727"/>
      </c:barChart>
      <c:catAx>
        <c:axId val="13175906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317574367"/>
        <c:crosses val="autoZero"/>
        <c:auto val="1"/>
        <c:lblAlgn val="ctr"/>
        <c:lblOffset val="100"/>
        <c:noMultiLvlLbl val="0"/>
      </c:catAx>
      <c:valAx>
        <c:axId val="1317574367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17590687"/>
        <c:crosses val="autoZero"/>
        <c:crossBetween val="between"/>
      </c:valAx>
      <c:valAx>
        <c:axId val="1317565727"/>
        <c:scaling>
          <c:orientation val="minMax"/>
        </c:scaling>
        <c:delete val="1"/>
        <c:axPos val="r"/>
        <c:numFmt formatCode="&quot;R$&quot;\ #,##0.00" sourceLinked="1"/>
        <c:majorTickMark val="out"/>
        <c:minorTickMark val="none"/>
        <c:tickLblPos val="nextTo"/>
        <c:crossAx val="1317562847"/>
        <c:crosses val="max"/>
        <c:crossBetween val="between"/>
      </c:valAx>
      <c:catAx>
        <c:axId val="1317562847"/>
        <c:scaling>
          <c:orientation val="minMax"/>
        </c:scaling>
        <c:delete val="1"/>
        <c:axPos val="b"/>
        <c:majorTickMark val="out"/>
        <c:minorTickMark val="none"/>
        <c:tickLblPos val="nextTo"/>
        <c:crossAx val="1317565727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dos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1</xdr:row>
      <xdr:rowOff>9525</xdr:rowOff>
    </xdr:from>
    <xdr:to>
      <xdr:col>10</xdr:col>
      <xdr:colOff>361950</xdr:colOff>
      <xdr:row>6</xdr:row>
      <xdr:rowOff>9525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066A5-792B-9518-D221-B86ECF9E4F8B}"/>
            </a:ext>
          </a:extLst>
        </xdr:cNvPr>
        <xdr:cNvSpPr/>
      </xdr:nvSpPr>
      <xdr:spPr>
        <a:xfrm>
          <a:off x="8343900" y="200025"/>
          <a:ext cx="1219200" cy="762000"/>
        </a:xfrm>
        <a:prstGeom prst="leftArrow">
          <a:avLst/>
        </a:prstGeom>
        <a:solidFill>
          <a:srgbClr val="4472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/>
            <a:t>Voltar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0</xdr:rowOff>
    </xdr:from>
    <xdr:to>
      <xdr:col>19</xdr:col>
      <xdr:colOff>309562</xdr:colOff>
      <xdr:row>43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56D0E0-AC2D-44D4-A3E3-6C3AE1B08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</xdr:row>
      <xdr:rowOff>66675</xdr:rowOff>
    </xdr:from>
    <xdr:to>
      <xdr:col>10</xdr:col>
      <xdr:colOff>343200</xdr:colOff>
      <xdr:row>23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63FA18-254C-45FC-BAF6-903F9F6D8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152400</xdr:colOff>
      <xdr:row>11</xdr:row>
      <xdr:rowOff>161925</xdr:rowOff>
    </xdr:from>
    <xdr:to>
      <xdr:col>0</xdr:col>
      <xdr:colOff>1466850</xdr:colOff>
      <xdr:row>17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A3F936F6-D0FD-4179-89A3-300D0A43CB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2876550"/>
              <a:ext cx="1314450" cy="1243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5</xdr:row>
      <xdr:rowOff>0</xdr:rowOff>
    </xdr:from>
    <xdr:to>
      <xdr:col>10</xdr:col>
      <xdr:colOff>343200</xdr:colOff>
      <xdr:row>9</xdr:row>
      <xdr:rowOff>66000</xdr:rowOff>
    </xdr:to>
    <xdr:sp macro="" textlink="">
      <xdr:nvSpPr>
        <xdr:cNvPr id="5" name="Retângulo: Cantos Superiores Arredondados 4">
          <a:extLst>
            <a:ext uri="{FF2B5EF4-FFF2-40B4-BE49-F238E27FC236}">
              <a16:creationId xmlns:a16="http://schemas.microsoft.com/office/drawing/2014/main" id="{239D7BD3-DD27-C991-49A9-7D34E7BD7A74}"/>
            </a:ext>
          </a:extLst>
        </xdr:cNvPr>
        <xdr:cNvSpPr/>
      </xdr:nvSpPr>
      <xdr:spPr>
        <a:xfrm>
          <a:off x="2247900" y="952500"/>
          <a:ext cx="5220000" cy="828000"/>
        </a:xfrm>
        <a:prstGeom prst="round2SameRect">
          <a:avLst/>
        </a:prstGeom>
        <a:solidFill>
          <a:srgbClr val="4472C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3</xdr:col>
      <xdr:colOff>171600</xdr:colOff>
      <xdr:row>6</xdr:row>
      <xdr:rowOff>33000</xdr:rowOff>
    </xdr:from>
    <xdr:to>
      <xdr:col>9</xdr:col>
      <xdr:colOff>171600</xdr:colOff>
      <xdr:row>8</xdr:row>
      <xdr:rowOff>33000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12046FF-FA37-9CE0-C009-5D2FB4ABF827}"/>
            </a:ext>
          </a:extLst>
        </xdr:cNvPr>
        <xdr:cNvSpPr txBox="1"/>
      </xdr:nvSpPr>
      <xdr:spPr>
        <a:xfrm>
          <a:off x="3029100" y="1176000"/>
          <a:ext cx="3657600" cy="38100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kern="1200">
              <a:solidFill>
                <a:schemeClr val="bg1"/>
              </a:solidFill>
            </a:rPr>
            <a:t>Entradas</a:t>
          </a:r>
        </a:p>
      </xdr:txBody>
    </xdr:sp>
    <xdr:clientData/>
  </xdr:twoCellAnchor>
  <xdr:twoCellAnchor>
    <xdr:from>
      <xdr:col>2</xdr:col>
      <xdr:colOff>0</xdr:colOff>
      <xdr:row>24</xdr:row>
      <xdr:rowOff>162600</xdr:rowOff>
    </xdr:from>
    <xdr:to>
      <xdr:col>19</xdr:col>
      <xdr:colOff>321468</xdr:colOff>
      <xdr:row>29</xdr:row>
      <xdr:rowOff>38100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1D792C0E-E14B-43D1-BD04-1E061ADFB219}"/>
            </a:ext>
          </a:extLst>
        </xdr:cNvPr>
        <xdr:cNvSpPr/>
      </xdr:nvSpPr>
      <xdr:spPr>
        <a:xfrm>
          <a:off x="2262188" y="5568038"/>
          <a:ext cx="11763374" cy="828000"/>
        </a:xfrm>
        <a:prstGeom prst="round2SameRect">
          <a:avLst/>
        </a:prstGeom>
        <a:solidFill>
          <a:srgbClr val="4472C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3</xdr:col>
      <xdr:colOff>114600</xdr:colOff>
      <xdr:row>26</xdr:row>
      <xdr:rowOff>33000</xdr:rowOff>
    </xdr:from>
    <xdr:to>
      <xdr:col>17</xdr:col>
      <xdr:colOff>571800</xdr:colOff>
      <xdr:row>28</xdr:row>
      <xdr:rowOff>33000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F57C21B-AA9F-443B-B37A-C8073B38DF46}"/>
            </a:ext>
          </a:extLst>
        </xdr:cNvPr>
        <xdr:cNvSpPr txBox="1"/>
      </xdr:nvSpPr>
      <xdr:spPr>
        <a:xfrm>
          <a:off x="2972100" y="4986000"/>
          <a:ext cx="8991600" cy="38100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kern="1200">
              <a:solidFill>
                <a:schemeClr val="bg1"/>
              </a:solidFill>
            </a:rPr>
            <a:t>Saídas</a:t>
          </a:r>
        </a:p>
      </xdr:txBody>
    </xdr:sp>
    <xdr:clientData/>
  </xdr:twoCellAnchor>
  <xdr:twoCellAnchor>
    <xdr:from>
      <xdr:col>3</xdr:col>
      <xdr:colOff>0</xdr:colOff>
      <xdr:row>25</xdr:row>
      <xdr:rowOff>95250</xdr:rowOff>
    </xdr:from>
    <xdr:to>
      <xdr:col>4</xdr:col>
      <xdr:colOff>0</xdr:colOff>
      <xdr:row>28</xdr:row>
      <xdr:rowOff>95250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A70D8C5D-FDAC-49B0-90CB-01AA1B35A585}"/>
            </a:ext>
          </a:extLst>
        </xdr:cNvPr>
        <xdr:cNvSpPr/>
      </xdr:nvSpPr>
      <xdr:spPr>
        <a:xfrm>
          <a:off x="2857500" y="4857750"/>
          <a:ext cx="609600" cy="5715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3</xdr:col>
      <xdr:colOff>0</xdr:colOff>
      <xdr:row>5</xdr:row>
      <xdr:rowOff>152400</xdr:rowOff>
    </xdr:from>
    <xdr:to>
      <xdr:col>4</xdr:col>
      <xdr:colOff>0</xdr:colOff>
      <xdr:row>8</xdr:row>
      <xdr:rowOff>152400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F0B66F4F-5547-404E-A886-6A1445B88962}"/>
            </a:ext>
          </a:extLst>
        </xdr:cNvPr>
        <xdr:cNvSpPr/>
      </xdr:nvSpPr>
      <xdr:spPr>
        <a:xfrm rot="10800000">
          <a:off x="2857500" y="1104900"/>
          <a:ext cx="609600" cy="571500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13</xdr:col>
      <xdr:colOff>374175</xdr:colOff>
      <xdr:row>1</xdr:row>
      <xdr:rowOff>495301</xdr:rowOff>
    </xdr:from>
    <xdr:to>
      <xdr:col>18</xdr:col>
      <xdr:colOff>374175</xdr:colOff>
      <xdr:row>2</xdr:row>
      <xdr:rowOff>0</xdr:rowOff>
    </xdr:to>
    <xdr:grpSp>
      <xdr:nvGrpSpPr>
        <xdr:cNvPr id="15" name="Agrupar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9F047D-C4AD-0F11-88BE-138CB6535680}"/>
            </a:ext>
          </a:extLst>
        </xdr:cNvPr>
        <xdr:cNvGrpSpPr/>
      </xdr:nvGrpSpPr>
      <xdr:grpSpPr>
        <a:xfrm>
          <a:off x="9827738" y="685801"/>
          <a:ext cx="3643312" cy="314324"/>
          <a:chOff x="8953500" y="1716405"/>
          <a:chExt cx="3048000" cy="426720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3AFCAD43-2CBD-DA69-F704-3F50CD972A54}"/>
              </a:ext>
            </a:extLst>
          </xdr:cNvPr>
          <xdr:cNvSpPr/>
        </xdr:nvSpPr>
        <xdr:spPr>
          <a:xfrm>
            <a:off x="8953500" y="1716405"/>
            <a:ext cx="3048000" cy="426719"/>
          </a:xfrm>
          <a:prstGeom prst="rect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 kern="1200"/>
              <a:t>Pesquise aqui</a:t>
            </a:r>
          </a:p>
        </xdr:txBody>
      </xdr:sp>
      <xdr:pic>
        <xdr:nvPicPr>
          <xdr:cNvPr id="14" name="Gráfico 13" descr="Lupa">
            <a:extLst>
              <a:ext uri="{FF2B5EF4-FFF2-40B4-BE49-F238E27FC236}">
                <a16:creationId xmlns:a16="http://schemas.microsoft.com/office/drawing/2014/main" id="{D005B5F6-7961-C199-1BD5-1347D55A82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1449050" y="1762125"/>
            <a:ext cx="381000" cy="3810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495300</xdr:colOff>
      <xdr:row>5</xdr:row>
      <xdr:rowOff>57150</xdr:rowOff>
    </xdr:from>
    <xdr:to>
      <xdr:col>19</xdr:col>
      <xdr:colOff>295275</xdr:colOff>
      <xdr:row>9</xdr:row>
      <xdr:rowOff>123150</xdr:rowOff>
    </xdr:to>
    <xdr:sp macro="" textlink="">
      <xdr:nvSpPr>
        <xdr:cNvPr id="18" name="Retângulo: Cantos Superiores Arredondados 17">
          <a:extLst>
            <a:ext uri="{FF2B5EF4-FFF2-40B4-BE49-F238E27FC236}">
              <a16:creationId xmlns:a16="http://schemas.microsoft.com/office/drawing/2014/main" id="{EA00E32A-BC2E-405E-B8FF-575AF3736E86}"/>
            </a:ext>
          </a:extLst>
        </xdr:cNvPr>
        <xdr:cNvSpPr/>
      </xdr:nvSpPr>
      <xdr:spPr>
        <a:xfrm>
          <a:off x="11191875" y="1628775"/>
          <a:ext cx="2847975" cy="828000"/>
        </a:xfrm>
        <a:prstGeom prst="round2SameRect">
          <a:avLst/>
        </a:prstGeom>
        <a:solidFill>
          <a:srgbClr val="4472C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14</xdr:col>
      <xdr:colOff>114300</xdr:colOff>
      <xdr:row>6</xdr:row>
      <xdr:rowOff>57150</xdr:rowOff>
    </xdr:from>
    <xdr:to>
      <xdr:col>20</xdr:col>
      <xdr:colOff>114300</xdr:colOff>
      <xdr:row>8</xdr:row>
      <xdr:rowOff>57150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8DC18DD-4C88-4433-AA1D-95834E3D8D86}"/>
            </a:ext>
          </a:extLst>
        </xdr:cNvPr>
        <xdr:cNvSpPr txBox="1"/>
      </xdr:nvSpPr>
      <xdr:spPr>
        <a:xfrm>
          <a:off x="10810875" y="1819275"/>
          <a:ext cx="3657600" cy="381000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kern="1200">
              <a:solidFill>
                <a:schemeClr val="bg1"/>
              </a:solidFill>
            </a:rPr>
            <a:t>Reserva</a:t>
          </a:r>
        </a:p>
      </xdr:txBody>
    </xdr:sp>
    <xdr:clientData/>
  </xdr:twoCellAnchor>
  <xdr:twoCellAnchor>
    <xdr:from>
      <xdr:col>14</xdr:col>
      <xdr:colOff>523875</xdr:colOff>
      <xdr:row>9</xdr:row>
      <xdr:rowOff>133350</xdr:rowOff>
    </xdr:from>
    <xdr:to>
      <xdr:col>19</xdr:col>
      <xdr:colOff>285750</xdr:colOff>
      <xdr:row>22</xdr:row>
      <xdr:rowOff>171450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6121C47-54FD-4103-946F-3616A421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Liscano Rech" refreshedDate="45686.805792708336" createdVersion="8" refreshedVersion="8" minRefreshableVersion="3" recordCount="44" xr:uid="{3A4FB2CC-B5ED-41E0-B64E-E06D6D8C2EBD}">
  <cacheSource type="worksheet">
    <worksheetSource name="Tabela1"/>
  </cacheSource>
  <cacheFields count="10">
    <cacheField name="Data" numFmtId="14">
      <sharedItems containsSemiMixedTypes="0" containsNonDate="0" containsDate="1" containsString="0" minDate="2024-08-01T00:00:00" maxDate="2024-11-01T00:00:00" count="39">
        <d v="2024-08-01T00:00:00"/>
        <d v="2024-08-03T00:00:00"/>
        <d v="2024-08-05T00:00:00"/>
        <d v="2024-08-07T00:00:00"/>
        <d v="2024-08-10T00:00:00"/>
        <d v="2024-08-12T00:00:00"/>
        <d v="2024-08-15T00:00:00"/>
        <d v="2024-08-18T00:00:00"/>
        <d v="2024-08-20T00:00:00"/>
        <d v="2024-08-22T00:00:00"/>
        <d v="2024-08-24T00:00:00"/>
        <d v="2024-08-28T00:00:00"/>
        <d v="2024-08-30T00:00:00"/>
        <d v="2024-08-31T00:00:00"/>
        <d v="2024-09-01T00:00:00"/>
        <d v="2024-09-02T00:00:00"/>
        <d v="2024-09-05T00:00:00"/>
        <d v="2024-09-08T00:00:00"/>
        <d v="2024-09-11T00:00:00"/>
        <d v="2024-09-14T00:00:00"/>
        <d v="2024-09-17T00:00:00"/>
        <d v="2024-09-20T00:00:00"/>
        <d v="2024-09-23T00:00:00"/>
        <d v="2024-09-26T00:00:00"/>
        <d v="2024-09-29T00:00:00"/>
        <d v="2024-10-01T00:00:00"/>
        <d v="2024-10-03T00:00:00"/>
        <d v="2024-10-05T00:00:00"/>
        <d v="2024-10-08T00:00:00"/>
        <d v="2024-10-10T00:00:00"/>
        <d v="2024-10-13T00:00:00"/>
        <d v="2024-10-15T00:00:00"/>
        <d v="2024-10-18T00:00:00"/>
        <d v="2024-10-20T00:00:00"/>
        <d v="2024-10-22T00:00:00"/>
        <d v="2024-10-24T00:00:00"/>
        <d v="2024-10-26T00:00:00"/>
        <d v="2024-10-30T00:00:00"/>
        <d v="2024-10-31T00:00:00"/>
      </sharedItems>
      <fieldGroup par="9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  <cacheField name="Dias (Data)" numFmtId="0" databaseField="0">
      <fieldGroup base="0">
        <rangePr groupBy="days" startDate="2024-08-01T00:00:00" endDate="2024-11-01T00:00:00"/>
        <groupItems count="368">
          <s v="&lt;01/08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1/2024"/>
        </groupItems>
      </fieldGroup>
    </cacheField>
    <cacheField name="Meses (Data)" numFmtId="0" databaseField="0">
      <fieldGroup base="0">
        <rangePr groupBy="months" startDate="2024-08-01T00:00:00" endDate="2024-11-01T00:00:00"/>
        <groupItems count="14">
          <s v="&lt;01/08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1/2024"/>
        </groupItems>
      </fieldGroup>
    </cacheField>
  </cacheFields>
  <extLst>
    <ext xmlns:x14="http://schemas.microsoft.com/office/spreadsheetml/2009/9/main" uri="{725AE2AE-9491-48be-B2B4-4EB974FC3084}">
      <x14:pivotCacheDefinition pivotCacheId="17413853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Salário mensal"/>
    <n v="5000"/>
    <s v="Transferência"/>
    <s v="Recebido"/>
  </r>
  <r>
    <x v="0"/>
    <x v="0"/>
    <x v="1"/>
    <x v="1"/>
    <s v="Compras no supermercado"/>
    <n v="550"/>
    <s v="Débito Automático"/>
    <s v="Pendente"/>
  </r>
  <r>
    <x v="1"/>
    <x v="0"/>
    <x v="1"/>
    <x v="2"/>
    <s v="Gasolina"/>
    <n v="300"/>
    <s v="Cartão de Crédito"/>
    <s v="Pago"/>
  </r>
  <r>
    <x v="2"/>
    <x v="0"/>
    <x v="1"/>
    <x v="3"/>
    <s v="Cinema"/>
    <n v="120"/>
    <s v="Cartão de Crédito"/>
    <s v="Pago"/>
  </r>
  <r>
    <x v="3"/>
    <x v="0"/>
    <x v="1"/>
    <x v="4"/>
    <s v="Consulta odontológica"/>
    <n v="250"/>
    <s v="Transferência"/>
    <s v="Pago"/>
  </r>
  <r>
    <x v="4"/>
    <x v="0"/>
    <x v="1"/>
    <x v="5"/>
    <s v="Material escolar"/>
    <n v="400"/>
    <s v="Débito Automático"/>
    <s v="Pendente"/>
  </r>
  <r>
    <x v="5"/>
    <x v="0"/>
    <x v="1"/>
    <x v="6"/>
    <s v="Compra de roupas de inverno"/>
    <n v="600"/>
    <s v="Cartão de Crédito"/>
    <s v="Pendente"/>
  </r>
  <r>
    <x v="6"/>
    <x v="0"/>
    <x v="0"/>
    <x v="7"/>
    <s v="Dividendos de ações"/>
    <n v="800"/>
    <s v="Transferência"/>
    <s v="Recebido"/>
  </r>
  <r>
    <x v="6"/>
    <x v="0"/>
    <x v="1"/>
    <x v="8"/>
    <s v="Limpeza do apartamento"/>
    <n v="150"/>
    <s v="Transferência"/>
    <s v="Pago"/>
  </r>
  <r>
    <x v="7"/>
    <x v="0"/>
    <x v="1"/>
    <x v="9"/>
    <s v="Compra de novo celular"/>
    <n v="1200"/>
    <s v="Cartão de Crédito"/>
    <s v="Pendente"/>
  </r>
  <r>
    <x v="8"/>
    <x v="0"/>
    <x v="1"/>
    <x v="10"/>
    <s v="Reparos domésticos"/>
    <n v="450"/>
    <s v="Débito Automático"/>
    <s v="Pago"/>
  </r>
  <r>
    <x v="9"/>
    <x v="0"/>
    <x v="1"/>
    <x v="11"/>
    <s v="Presente de aniversário"/>
    <n v="180"/>
    <s v="Transferência"/>
    <s v="Pendente"/>
  </r>
  <r>
    <x v="10"/>
    <x v="0"/>
    <x v="1"/>
    <x v="12"/>
    <s v="Corte de cabelo e barba"/>
    <n v="80"/>
    <s v="Débito Automático"/>
    <s v="Pago"/>
  </r>
  <r>
    <x v="11"/>
    <x v="0"/>
    <x v="1"/>
    <x v="13"/>
    <s v="Ração e petiscos para o cachorro"/>
    <n v="200"/>
    <s v="Débito Automático"/>
    <s v="Pago"/>
  </r>
  <r>
    <x v="12"/>
    <x v="0"/>
    <x v="1"/>
    <x v="14"/>
    <s v="Reserva de pousada"/>
    <n v="750"/>
    <s v="Transferência"/>
    <s v="Pendente"/>
  </r>
  <r>
    <x v="13"/>
    <x v="0"/>
    <x v="1"/>
    <x v="15"/>
    <s v="Jantar em restaurante francês"/>
    <n v="350"/>
    <s v="Cartão de Crédito"/>
    <s v="Pago"/>
  </r>
  <r>
    <x v="14"/>
    <x v="1"/>
    <x v="0"/>
    <x v="0"/>
    <s v="Salário mensal"/>
    <n v="5000"/>
    <s v="Transferência"/>
    <s v="Recebido"/>
  </r>
  <r>
    <x v="15"/>
    <x v="1"/>
    <x v="1"/>
    <x v="1"/>
    <s v="Compras no supermercado"/>
    <n v="450"/>
    <s v="Débito Automático"/>
    <s v="Pendente"/>
  </r>
  <r>
    <x v="16"/>
    <x v="1"/>
    <x v="1"/>
    <x v="2"/>
    <s v="Gasolina"/>
    <n v="300"/>
    <s v="Débito Automático"/>
    <s v="Pago"/>
  </r>
  <r>
    <x v="17"/>
    <x v="1"/>
    <x v="1"/>
    <x v="3"/>
    <s v="Cinema e jantar"/>
    <n v="200"/>
    <s v="Transferência"/>
    <s v="Pago"/>
  </r>
  <r>
    <x v="18"/>
    <x v="1"/>
    <x v="1"/>
    <x v="4"/>
    <s v="Plano de saúde"/>
    <n v="600"/>
    <s v="Débito Automático"/>
    <s v="Pendente"/>
  </r>
  <r>
    <x v="19"/>
    <x v="1"/>
    <x v="1"/>
    <x v="5"/>
    <s v="Material escolar"/>
    <n v="350"/>
    <s v="Transferência"/>
    <s v="Pago"/>
  </r>
  <r>
    <x v="20"/>
    <x v="1"/>
    <x v="1"/>
    <x v="6"/>
    <s v="Compra de roupas"/>
    <n v="500"/>
    <s v="Cartão de Crédito"/>
    <s v="Pendente"/>
  </r>
  <r>
    <x v="21"/>
    <x v="1"/>
    <x v="0"/>
    <x v="16"/>
    <s v="Pagamento por projeto freelancer"/>
    <n v="1200"/>
    <s v="Transferência"/>
    <s v="Recebido"/>
  </r>
  <r>
    <x v="21"/>
    <x v="1"/>
    <x v="1"/>
    <x v="8"/>
    <s v="Manutenção do veículo"/>
    <n v="800"/>
    <s v="Transferência"/>
    <s v="Pago"/>
  </r>
  <r>
    <x v="22"/>
    <x v="1"/>
    <x v="1"/>
    <x v="9"/>
    <s v="Compra de novo smartphone"/>
    <n v="1500"/>
    <s v="Cartão de Crédito"/>
    <s v="Pendente"/>
  </r>
  <r>
    <x v="23"/>
    <x v="1"/>
    <x v="1"/>
    <x v="17"/>
    <s v="Conta de energia elétrica"/>
    <n v="250"/>
    <s v="Débito Automático"/>
    <s v="Pago"/>
  </r>
  <r>
    <x v="24"/>
    <x v="1"/>
    <x v="1"/>
    <x v="11"/>
    <s v="Aniversário da mãe"/>
    <n v="400"/>
    <s v="Cartão de Crédito"/>
    <s v="Pendente"/>
  </r>
  <r>
    <x v="25"/>
    <x v="2"/>
    <x v="0"/>
    <x v="0"/>
    <s v="Salário mensal"/>
    <n v="5000"/>
    <s v="Transferência"/>
    <s v="Recebido"/>
  </r>
  <r>
    <x v="25"/>
    <x v="2"/>
    <x v="1"/>
    <x v="1"/>
    <s v="Compras no supermercado"/>
    <n v="600"/>
    <s v="Débito Automático"/>
    <s v="Pendente"/>
  </r>
  <r>
    <x v="26"/>
    <x v="2"/>
    <x v="1"/>
    <x v="2"/>
    <s v="Recarga de cartão de transporte"/>
    <n v="200"/>
    <s v="Cartão de Crédito"/>
    <s v="Pago"/>
  </r>
  <r>
    <x v="27"/>
    <x v="2"/>
    <x v="1"/>
    <x v="3"/>
    <s v="Ingressos para teatro"/>
    <n v="180"/>
    <s v="Transferência"/>
    <s v="Pago"/>
  </r>
  <r>
    <x v="28"/>
    <x v="2"/>
    <x v="1"/>
    <x v="4"/>
    <s v="Remédios de farmácia"/>
    <n v="120"/>
    <s v="Débito Automático"/>
    <s v="Pendente"/>
  </r>
  <r>
    <x v="29"/>
    <x v="2"/>
    <x v="1"/>
    <x v="5"/>
    <s v="Cursos online"/>
    <n v="350"/>
    <s v="Cartão de Crédito"/>
    <s v="Pendente"/>
  </r>
  <r>
    <x v="30"/>
    <x v="2"/>
    <x v="1"/>
    <x v="6"/>
    <s v="Roupas de primavera"/>
    <n v="400"/>
    <s v="Transferência"/>
    <s v="Pago"/>
  </r>
  <r>
    <x v="31"/>
    <x v="2"/>
    <x v="1"/>
    <x v="8"/>
    <s v="Manutenção da casa"/>
    <n v="450"/>
    <s v="Débito Automático"/>
    <s v="Pago"/>
  </r>
  <r>
    <x v="32"/>
    <x v="2"/>
    <x v="0"/>
    <x v="18"/>
    <s v="Venda de equipamentos eletrônicos"/>
    <n v="1500"/>
    <s v="Transferência"/>
    <s v="Recebido"/>
  </r>
  <r>
    <x v="32"/>
    <x v="2"/>
    <x v="1"/>
    <x v="9"/>
    <s v="Manutenção do computador"/>
    <n v="300"/>
    <s v="Cartão de Crédito"/>
    <s v="Pendente"/>
  </r>
  <r>
    <x v="33"/>
    <x v="2"/>
    <x v="1"/>
    <x v="10"/>
    <s v="Troca de móveis da cozinha"/>
    <n v="800"/>
    <s v="Transferência"/>
    <s v="Pago"/>
  </r>
  <r>
    <x v="34"/>
    <x v="2"/>
    <x v="1"/>
    <x v="11"/>
    <s v="Presentes para casamento"/>
    <n v="250"/>
    <s v="Cartão de Crédito"/>
    <s v="Pendente"/>
  </r>
  <r>
    <x v="35"/>
    <x v="2"/>
    <x v="1"/>
    <x v="13"/>
    <s v="Veterinário para o pet"/>
    <n v="150"/>
    <s v="Débito Automático"/>
    <s v="Pago"/>
  </r>
  <r>
    <x v="36"/>
    <x v="2"/>
    <x v="1"/>
    <x v="12"/>
    <s v="Salão de beleza"/>
    <n v="250"/>
    <s v="Transferência"/>
    <s v="Pendente"/>
  </r>
  <r>
    <x v="37"/>
    <x v="2"/>
    <x v="1"/>
    <x v="15"/>
    <s v="Jantar em restaurante italiano"/>
    <n v="220"/>
    <s v="Transferência"/>
    <s v="Pendente"/>
  </r>
  <r>
    <x v="38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474D8-09C0-45E1-9C07-540510B6A043}" name="Tabela dinâmica2" cacheId="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H3:I8" firstHeaderRow="1" firstDataRow="1" firstDataCol="1" rowPageCount="1" colPageCount="1"/>
  <pivotFields count="10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90" name="Data">
      <autoFilter ref="A1">
        <filterColumn colId="0">
          <customFilters and="1">
            <customFilter operator="greaterThanOrEqual" val="45566"/>
            <customFilter operator="lessThanOrEqual" val="455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41E71-C3C9-4297-9617-36EB79131F42}" name="Tabela dinâmica1" cacheId="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A3:B19" firstHeaderRow="1" firstDataRow="1" firstDataCol="1" rowPageCount="1" colPageCount="1"/>
  <pivotFields count="10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44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96" name="Data">
      <autoFilter ref="A1">
        <filterColumn colId="0">
          <customFilters and="1">
            <customFilter operator="greaterThanOrEqual" val="45566"/>
            <customFilter operator="lessThanOrEqual" val="455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95BDF4E2-5D65-48E5-9964-ACEAA535F2DB}" sourceName="Mês">
  <pivotTables>
    <pivotTable tabId="2" name="Tabela dinâmica1"/>
    <pivotTable tabId="2" name="Tabela dinâmica2"/>
  </pivotTables>
  <data>
    <tabular pivotCacheId="1741385367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18D61FAE-C8B7-4CB7-BAFC-BED895824A36}" cache="SegmentaçãodeDados_Mês" caption="Mês" style="stilo_di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5B7F7-C663-4C56-9344-27F526E099FD}" name="Tabela1" displayName="Tabela1" ref="A1:H45" totalsRowShown="0" headerRowDxfId="15" dataDxfId="14">
  <autoFilter ref="A1:H45" xr:uid="{9F35B7F7-C663-4C56-9344-27F526E099FD}"/>
  <tableColumns count="8">
    <tableColumn id="1" xr3:uid="{8C5F2E70-A27F-4246-88CA-2F7FBD86B5C5}" name="Data" dataDxfId="13"/>
    <tableColumn id="8" xr3:uid="{8CB93866-5534-480B-B82D-DD1F7E056832}" name="Mês" dataDxfId="12">
      <calculatedColumnFormula>MONTH(Tabela1[[#This Row],[Data]])</calculatedColumnFormula>
    </tableColumn>
    <tableColumn id="2" xr3:uid="{A92D5DE8-3026-4CC3-8A62-FAC8C0FE05D9}" name="Tipo" dataDxfId="11"/>
    <tableColumn id="3" xr3:uid="{B41D327F-CE9E-4AB4-AD6B-0FAC38E58819}" name="Categoria" dataDxfId="10"/>
    <tableColumn id="4" xr3:uid="{7AE72D4F-04DF-4972-A432-D5DC374CFF47}" name="Descrição" dataDxfId="9"/>
    <tableColumn id="5" xr3:uid="{46D9D17C-5A91-4807-885E-D9C0D19F85CD}" name="Valor" dataDxfId="8" dataCellStyle="Moeda"/>
    <tableColumn id="6" xr3:uid="{04862283-79B0-49B5-B67A-DF1D88F1D2E0}" name="Operação Bancária" dataDxfId="7"/>
    <tableColumn id="7" xr3:uid="{FAEC1AC1-5838-46F8-91FE-7F470EA07415}" name="Status" dataDxfId="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95DDD-7586-469F-9E9A-84ABB39DD08D}" name="Tabela2" displayName="Tabela2" ref="B4:C5" headerRowCount="0" totalsRowShown="0">
  <tableColumns count="2">
    <tableColumn id="1" xr3:uid="{4C51D21D-EB8F-4315-99D5-3C2B107CCF1E}" name="Coluna1" dataDxfId="2"/>
    <tableColumn id="2" xr3:uid="{8C4B80B9-85FE-4C63-B831-FF321810B610}" name="Coluna2" dataDxfId="3">
      <calculatedColumnFormula>SUM(Tabela3[Depósito Reservado])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8FFC0-3158-4ECD-B65E-72FB28448673}" name="Tabela3" displayName="Tabela3" ref="B8:C22" totalsRowShown="0">
  <autoFilter ref="B8:C22" xr:uid="{0198FFC0-3158-4ECD-B65E-72FB28448673}"/>
  <tableColumns count="2">
    <tableColumn id="1" xr3:uid="{092210C9-4BBE-45E5-B180-2A1C502DCE74}" name="Data de Lançamento" dataDxfId="0"/>
    <tableColumn id="2" xr3:uid="{9F41E12B-78FF-47DA-ADB1-98C23523B868}" name="Depósito Reservado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H45"/>
  <sheetViews>
    <sheetView showGridLines="0" workbookViewId="0"/>
  </sheetViews>
  <sheetFormatPr defaultRowHeight="15" x14ac:dyDescent="0.25"/>
  <cols>
    <col min="1" max="1" width="10.7109375" style="1" bestFit="1" customWidth="1"/>
    <col min="2" max="2" width="10.7109375" style="1" customWidth="1"/>
    <col min="3" max="3" width="9.42578125" style="1" bestFit="1" customWidth="1"/>
    <col min="4" max="4" width="20.85546875" style="1" bestFit="1" customWidth="1"/>
    <col min="5" max="5" width="23.28515625" style="1" bestFit="1" customWidth="1"/>
    <col min="6" max="6" width="11.5703125" style="1" bestFit="1" customWidth="1"/>
    <col min="7" max="7" width="22.140625" style="1" bestFit="1" customWidth="1"/>
    <col min="8" max="8" width="11" style="1" bestFit="1" customWidth="1"/>
  </cols>
  <sheetData>
    <row r="1" spans="1:8" s="6" customFormat="1" x14ac:dyDescent="0.25">
      <c r="A1" s="5" t="s">
        <v>65</v>
      </c>
      <c r="B1" s="5" t="s">
        <v>75</v>
      </c>
      <c r="C1" s="5" t="s">
        <v>66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</row>
    <row r="2" spans="1:8" ht="12" customHeight="1" x14ac:dyDescent="0.25">
      <c r="A2" s="2">
        <v>45505</v>
      </c>
      <c r="B2" s="10">
        <f>MONTH(Tabela1[[#This Row],[Data]])</f>
        <v>8</v>
      </c>
      <c r="C2" s="3" t="s">
        <v>0</v>
      </c>
      <c r="D2" s="3" t="s">
        <v>1</v>
      </c>
      <c r="E2" s="3" t="s">
        <v>2</v>
      </c>
      <c r="F2" s="4">
        <v>5000</v>
      </c>
      <c r="G2" s="3" t="s">
        <v>3</v>
      </c>
      <c r="H2" s="3" t="s">
        <v>4</v>
      </c>
    </row>
    <row r="3" spans="1:8" ht="12" customHeight="1" x14ac:dyDescent="0.25">
      <c r="A3" s="2">
        <v>45505</v>
      </c>
      <c r="B3" s="10">
        <f>MONTH(Tabela1[[#This Row],[Data]])</f>
        <v>8</v>
      </c>
      <c r="C3" s="3" t="s">
        <v>5</v>
      </c>
      <c r="D3" s="3" t="s">
        <v>6</v>
      </c>
      <c r="E3" s="3" t="s">
        <v>7</v>
      </c>
      <c r="F3" s="4">
        <v>550</v>
      </c>
      <c r="G3" s="3" t="s">
        <v>8</v>
      </c>
      <c r="H3" s="3" t="s">
        <v>9</v>
      </c>
    </row>
    <row r="4" spans="1:8" ht="12" customHeight="1" x14ac:dyDescent="0.25">
      <c r="A4" s="2">
        <v>45507</v>
      </c>
      <c r="B4" s="10">
        <f>MONTH(Tabela1[[#This Row],[Data]])</f>
        <v>8</v>
      </c>
      <c r="C4" s="3" t="s">
        <v>5</v>
      </c>
      <c r="D4" s="3" t="s">
        <v>10</v>
      </c>
      <c r="E4" s="3" t="s">
        <v>11</v>
      </c>
      <c r="F4" s="4">
        <v>300</v>
      </c>
      <c r="G4" s="3" t="s">
        <v>12</v>
      </c>
      <c r="H4" s="3" t="s">
        <v>13</v>
      </c>
    </row>
    <row r="5" spans="1:8" ht="12" customHeight="1" x14ac:dyDescent="0.25">
      <c r="A5" s="2">
        <v>45509</v>
      </c>
      <c r="B5" s="10">
        <f>MONTH(Tabela1[[#This Row],[Data]])</f>
        <v>8</v>
      </c>
      <c r="C5" s="3" t="s">
        <v>5</v>
      </c>
      <c r="D5" s="3" t="s">
        <v>14</v>
      </c>
      <c r="E5" s="3" t="s">
        <v>15</v>
      </c>
      <c r="F5" s="4">
        <v>120</v>
      </c>
      <c r="G5" s="3" t="s">
        <v>12</v>
      </c>
      <c r="H5" s="3" t="s">
        <v>13</v>
      </c>
    </row>
    <row r="6" spans="1:8" ht="12" customHeight="1" x14ac:dyDescent="0.25">
      <c r="A6" s="2">
        <v>45511</v>
      </c>
      <c r="B6" s="10">
        <f>MONTH(Tabela1[[#This Row],[Data]])</f>
        <v>8</v>
      </c>
      <c r="C6" s="3" t="s">
        <v>5</v>
      </c>
      <c r="D6" s="3" t="s">
        <v>16</v>
      </c>
      <c r="E6" s="3" t="s">
        <v>17</v>
      </c>
      <c r="F6" s="4">
        <v>250</v>
      </c>
      <c r="G6" s="3" t="s">
        <v>3</v>
      </c>
      <c r="H6" s="3" t="s">
        <v>13</v>
      </c>
    </row>
    <row r="7" spans="1:8" ht="12" customHeight="1" x14ac:dyDescent="0.25">
      <c r="A7" s="2">
        <v>45514</v>
      </c>
      <c r="B7" s="10">
        <f>MONTH(Tabela1[[#This Row],[Data]])</f>
        <v>8</v>
      </c>
      <c r="C7" s="3" t="s">
        <v>5</v>
      </c>
      <c r="D7" s="3" t="s">
        <v>18</v>
      </c>
      <c r="E7" s="3" t="s">
        <v>19</v>
      </c>
      <c r="F7" s="4">
        <v>400</v>
      </c>
      <c r="G7" s="3" t="s">
        <v>8</v>
      </c>
      <c r="H7" s="3" t="s">
        <v>9</v>
      </c>
    </row>
    <row r="8" spans="1:8" ht="12" customHeight="1" x14ac:dyDescent="0.25">
      <c r="A8" s="2">
        <v>45516</v>
      </c>
      <c r="B8" s="10">
        <f>MONTH(Tabela1[[#This Row],[Data]])</f>
        <v>8</v>
      </c>
      <c r="C8" s="3" t="s">
        <v>5</v>
      </c>
      <c r="D8" s="3" t="s">
        <v>20</v>
      </c>
      <c r="E8" s="3" t="s">
        <v>21</v>
      </c>
      <c r="F8" s="4">
        <v>600</v>
      </c>
      <c r="G8" s="3" t="s">
        <v>12</v>
      </c>
      <c r="H8" s="3" t="s">
        <v>9</v>
      </c>
    </row>
    <row r="9" spans="1:8" ht="12" customHeight="1" x14ac:dyDescent="0.25">
      <c r="A9" s="2">
        <v>45519</v>
      </c>
      <c r="B9" s="10">
        <f>MONTH(Tabela1[[#This Row],[Data]])</f>
        <v>8</v>
      </c>
      <c r="C9" s="3" t="s">
        <v>0</v>
      </c>
      <c r="D9" s="3" t="s">
        <v>22</v>
      </c>
      <c r="E9" s="3" t="s">
        <v>23</v>
      </c>
      <c r="F9" s="4">
        <v>800</v>
      </c>
      <c r="G9" s="3" t="s">
        <v>3</v>
      </c>
      <c r="H9" s="3" t="s">
        <v>4</v>
      </c>
    </row>
    <row r="10" spans="1:8" ht="12" customHeight="1" x14ac:dyDescent="0.25">
      <c r="A10" s="2">
        <v>45519</v>
      </c>
      <c r="B10" s="10">
        <f>MONTH(Tabela1[[#This Row],[Data]])</f>
        <v>8</v>
      </c>
      <c r="C10" s="3" t="s">
        <v>5</v>
      </c>
      <c r="D10" s="3" t="s">
        <v>24</v>
      </c>
      <c r="E10" s="3" t="s">
        <v>25</v>
      </c>
      <c r="F10" s="4">
        <v>150</v>
      </c>
      <c r="G10" s="3" t="s">
        <v>3</v>
      </c>
      <c r="H10" s="3" t="s">
        <v>13</v>
      </c>
    </row>
    <row r="11" spans="1:8" ht="12" customHeight="1" x14ac:dyDescent="0.25">
      <c r="A11" s="2">
        <v>45522</v>
      </c>
      <c r="B11" s="10">
        <f>MONTH(Tabela1[[#This Row],[Data]])</f>
        <v>8</v>
      </c>
      <c r="C11" s="3" t="s">
        <v>5</v>
      </c>
      <c r="D11" s="3" t="s">
        <v>26</v>
      </c>
      <c r="E11" s="3" t="s">
        <v>27</v>
      </c>
      <c r="F11" s="4">
        <v>1200</v>
      </c>
      <c r="G11" s="3" t="s">
        <v>12</v>
      </c>
      <c r="H11" s="3" t="s">
        <v>9</v>
      </c>
    </row>
    <row r="12" spans="1:8" ht="12" customHeight="1" x14ac:dyDescent="0.25">
      <c r="A12" s="2">
        <v>45524</v>
      </c>
      <c r="B12" s="10">
        <f>MONTH(Tabela1[[#This Row],[Data]])</f>
        <v>8</v>
      </c>
      <c r="C12" s="3" t="s">
        <v>5</v>
      </c>
      <c r="D12" s="3" t="s">
        <v>28</v>
      </c>
      <c r="E12" s="3" t="s">
        <v>29</v>
      </c>
      <c r="F12" s="4">
        <v>450</v>
      </c>
      <c r="G12" s="3" t="s">
        <v>8</v>
      </c>
      <c r="H12" s="3" t="s">
        <v>13</v>
      </c>
    </row>
    <row r="13" spans="1:8" ht="12" customHeight="1" x14ac:dyDescent="0.25">
      <c r="A13" s="2">
        <v>45526</v>
      </c>
      <c r="B13" s="10">
        <f>MONTH(Tabela1[[#This Row],[Data]])</f>
        <v>8</v>
      </c>
      <c r="C13" s="3" t="s">
        <v>5</v>
      </c>
      <c r="D13" s="3" t="s">
        <v>30</v>
      </c>
      <c r="E13" s="3" t="s">
        <v>31</v>
      </c>
      <c r="F13" s="4">
        <v>180</v>
      </c>
      <c r="G13" s="3" t="s">
        <v>3</v>
      </c>
      <c r="H13" s="3" t="s">
        <v>9</v>
      </c>
    </row>
    <row r="14" spans="1:8" ht="12" customHeight="1" x14ac:dyDescent="0.25">
      <c r="A14" s="2">
        <v>45528</v>
      </c>
      <c r="B14" s="10">
        <f>MONTH(Tabela1[[#This Row],[Data]])</f>
        <v>8</v>
      </c>
      <c r="C14" s="3" t="s">
        <v>5</v>
      </c>
      <c r="D14" s="3" t="s">
        <v>32</v>
      </c>
      <c r="E14" s="3" t="s">
        <v>33</v>
      </c>
      <c r="F14" s="4">
        <v>80</v>
      </c>
      <c r="G14" s="3" t="s">
        <v>8</v>
      </c>
      <c r="H14" s="3" t="s">
        <v>13</v>
      </c>
    </row>
    <row r="15" spans="1:8" ht="12" customHeight="1" x14ac:dyDescent="0.25">
      <c r="A15" s="2">
        <v>45532</v>
      </c>
      <c r="B15" s="10">
        <f>MONTH(Tabela1[[#This Row],[Data]])</f>
        <v>8</v>
      </c>
      <c r="C15" s="3" t="s">
        <v>5</v>
      </c>
      <c r="D15" s="3" t="s">
        <v>34</v>
      </c>
      <c r="E15" s="3" t="s">
        <v>35</v>
      </c>
      <c r="F15" s="4">
        <v>200</v>
      </c>
      <c r="G15" s="3" t="s">
        <v>8</v>
      </c>
      <c r="H15" s="3" t="s">
        <v>13</v>
      </c>
    </row>
    <row r="16" spans="1:8" ht="12" customHeight="1" x14ac:dyDescent="0.25">
      <c r="A16" s="2">
        <v>45534</v>
      </c>
      <c r="B16" s="10">
        <f>MONTH(Tabela1[[#This Row],[Data]])</f>
        <v>8</v>
      </c>
      <c r="C16" s="3" t="s">
        <v>5</v>
      </c>
      <c r="D16" s="3" t="s">
        <v>36</v>
      </c>
      <c r="E16" s="3" t="s">
        <v>37</v>
      </c>
      <c r="F16" s="4">
        <v>750</v>
      </c>
      <c r="G16" s="3" t="s">
        <v>3</v>
      </c>
      <c r="H16" s="3" t="s">
        <v>9</v>
      </c>
    </row>
    <row r="17" spans="1:8" ht="12" customHeight="1" x14ac:dyDescent="0.25">
      <c r="A17" s="2">
        <v>45535</v>
      </c>
      <c r="B17" s="10">
        <f>MONTH(Tabela1[[#This Row],[Data]])</f>
        <v>8</v>
      </c>
      <c r="C17" s="3" t="s">
        <v>5</v>
      </c>
      <c r="D17" s="3" t="s">
        <v>38</v>
      </c>
      <c r="E17" s="3" t="s">
        <v>39</v>
      </c>
      <c r="F17" s="4">
        <v>350</v>
      </c>
      <c r="G17" s="3" t="s">
        <v>12</v>
      </c>
      <c r="H17" s="3" t="s">
        <v>13</v>
      </c>
    </row>
    <row r="18" spans="1:8" ht="12" customHeight="1" x14ac:dyDescent="0.25">
      <c r="A18" s="2">
        <v>45536</v>
      </c>
      <c r="B18" s="10">
        <f>MONTH(Tabela1[[#This Row],[Data]])</f>
        <v>9</v>
      </c>
      <c r="C18" s="3" t="s">
        <v>0</v>
      </c>
      <c r="D18" s="3" t="s">
        <v>1</v>
      </c>
      <c r="E18" s="3" t="s">
        <v>2</v>
      </c>
      <c r="F18" s="4">
        <v>5000</v>
      </c>
      <c r="G18" s="3" t="s">
        <v>3</v>
      </c>
      <c r="H18" s="3" t="s">
        <v>4</v>
      </c>
    </row>
    <row r="19" spans="1:8" ht="12" customHeight="1" x14ac:dyDescent="0.25">
      <c r="A19" s="2">
        <v>45537</v>
      </c>
      <c r="B19" s="10">
        <f>MONTH(Tabela1[[#This Row],[Data]])</f>
        <v>9</v>
      </c>
      <c r="C19" s="3" t="s">
        <v>5</v>
      </c>
      <c r="D19" s="3" t="s">
        <v>6</v>
      </c>
      <c r="E19" s="4" t="s">
        <v>7</v>
      </c>
      <c r="F19" s="4">
        <v>450</v>
      </c>
      <c r="G19" s="3" t="s">
        <v>8</v>
      </c>
      <c r="H19" s="3" t="s">
        <v>9</v>
      </c>
    </row>
    <row r="20" spans="1:8" ht="12" customHeight="1" x14ac:dyDescent="0.25">
      <c r="A20" s="2">
        <v>45540</v>
      </c>
      <c r="B20" s="10">
        <f>MONTH(Tabela1[[#This Row],[Data]])</f>
        <v>9</v>
      </c>
      <c r="C20" s="3" t="s">
        <v>5</v>
      </c>
      <c r="D20" s="3" t="s">
        <v>10</v>
      </c>
      <c r="E20" s="4" t="s">
        <v>11</v>
      </c>
      <c r="F20" s="4">
        <v>300</v>
      </c>
      <c r="G20" s="3" t="s">
        <v>8</v>
      </c>
      <c r="H20" s="3" t="s">
        <v>13</v>
      </c>
    </row>
    <row r="21" spans="1:8" ht="12" customHeight="1" x14ac:dyDescent="0.25">
      <c r="A21" s="2">
        <v>45543</v>
      </c>
      <c r="B21" s="10">
        <f>MONTH(Tabela1[[#This Row],[Data]])</f>
        <v>9</v>
      </c>
      <c r="C21" s="3" t="s">
        <v>5</v>
      </c>
      <c r="D21" s="3" t="s">
        <v>14</v>
      </c>
      <c r="E21" s="4" t="s">
        <v>40</v>
      </c>
      <c r="F21" s="4">
        <v>200</v>
      </c>
      <c r="G21" s="3" t="s">
        <v>3</v>
      </c>
      <c r="H21" s="3" t="s">
        <v>13</v>
      </c>
    </row>
    <row r="22" spans="1:8" ht="12" customHeight="1" x14ac:dyDescent="0.25">
      <c r="A22" s="2">
        <v>45546</v>
      </c>
      <c r="B22" s="10">
        <f>MONTH(Tabela1[[#This Row],[Data]])</f>
        <v>9</v>
      </c>
      <c r="C22" s="3" t="s">
        <v>5</v>
      </c>
      <c r="D22" s="3" t="s">
        <v>16</v>
      </c>
      <c r="E22" s="4" t="s">
        <v>41</v>
      </c>
      <c r="F22" s="4">
        <v>600</v>
      </c>
      <c r="G22" s="3" t="s">
        <v>8</v>
      </c>
      <c r="H22" s="3" t="s">
        <v>9</v>
      </c>
    </row>
    <row r="23" spans="1:8" ht="12" customHeight="1" x14ac:dyDescent="0.25">
      <c r="A23" s="2">
        <v>45549</v>
      </c>
      <c r="B23" s="10">
        <f>MONTH(Tabela1[[#This Row],[Data]])</f>
        <v>9</v>
      </c>
      <c r="C23" s="3" t="s">
        <v>5</v>
      </c>
      <c r="D23" s="3" t="s">
        <v>18</v>
      </c>
      <c r="E23" s="4" t="s">
        <v>19</v>
      </c>
      <c r="F23" s="4">
        <v>350</v>
      </c>
      <c r="G23" s="3" t="s">
        <v>3</v>
      </c>
      <c r="H23" s="3" t="s">
        <v>13</v>
      </c>
    </row>
    <row r="24" spans="1:8" ht="12" customHeight="1" x14ac:dyDescent="0.25">
      <c r="A24" s="2">
        <v>45552</v>
      </c>
      <c r="B24" s="10">
        <f>MONTH(Tabela1[[#This Row],[Data]])</f>
        <v>9</v>
      </c>
      <c r="C24" s="3" t="s">
        <v>5</v>
      </c>
      <c r="D24" s="3" t="s">
        <v>20</v>
      </c>
      <c r="E24" s="4" t="s">
        <v>42</v>
      </c>
      <c r="F24" s="4">
        <v>500</v>
      </c>
      <c r="G24" s="3" t="s">
        <v>12</v>
      </c>
      <c r="H24" s="3" t="s">
        <v>9</v>
      </c>
    </row>
    <row r="25" spans="1:8" ht="12" customHeight="1" x14ac:dyDescent="0.25">
      <c r="A25" s="2">
        <v>45555</v>
      </c>
      <c r="B25" s="10">
        <f>MONTH(Tabela1[[#This Row],[Data]])</f>
        <v>9</v>
      </c>
      <c r="C25" s="3" t="s">
        <v>0</v>
      </c>
      <c r="D25" s="3" t="s">
        <v>43</v>
      </c>
      <c r="E25" s="3" t="s">
        <v>44</v>
      </c>
      <c r="F25" s="4">
        <v>1200</v>
      </c>
      <c r="G25" s="3" t="s">
        <v>3</v>
      </c>
      <c r="H25" s="3" t="s">
        <v>4</v>
      </c>
    </row>
    <row r="26" spans="1:8" ht="12" customHeight="1" x14ac:dyDescent="0.25">
      <c r="A26" s="2">
        <v>45555</v>
      </c>
      <c r="B26" s="10">
        <f>MONTH(Tabela1[[#This Row],[Data]])</f>
        <v>9</v>
      </c>
      <c r="C26" s="3" t="s">
        <v>5</v>
      </c>
      <c r="D26" s="3" t="s">
        <v>24</v>
      </c>
      <c r="E26" s="4" t="s">
        <v>45</v>
      </c>
      <c r="F26" s="4">
        <v>800</v>
      </c>
      <c r="G26" s="3" t="s">
        <v>3</v>
      </c>
      <c r="H26" s="3" t="s">
        <v>13</v>
      </c>
    </row>
    <row r="27" spans="1:8" ht="12" customHeight="1" x14ac:dyDescent="0.25">
      <c r="A27" s="2">
        <v>45558</v>
      </c>
      <c r="B27" s="10">
        <f>MONTH(Tabela1[[#This Row],[Data]])</f>
        <v>9</v>
      </c>
      <c r="C27" s="3" t="s">
        <v>5</v>
      </c>
      <c r="D27" s="3" t="s">
        <v>26</v>
      </c>
      <c r="E27" s="4" t="s">
        <v>46</v>
      </c>
      <c r="F27" s="4">
        <v>1500</v>
      </c>
      <c r="G27" s="3" t="s">
        <v>12</v>
      </c>
      <c r="H27" s="3" t="s">
        <v>9</v>
      </c>
    </row>
    <row r="28" spans="1:8" ht="12" customHeight="1" x14ac:dyDescent="0.25">
      <c r="A28" s="2">
        <v>45561</v>
      </c>
      <c r="B28" s="10">
        <f>MONTH(Tabela1[[#This Row],[Data]])</f>
        <v>9</v>
      </c>
      <c r="C28" s="3" t="s">
        <v>5</v>
      </c>
      <c r="D28" s="3" t="s">
        <v>47</v>
      </c>
      <c r="E28" s="4" t="s">
        <v>48</v>
      </c>
      <c r="F28" s="4">
        <v>250</v>
      </c>
      <c r="G28" s="3" t="s">
        <v>8</v>
      </c>
      <c r="H28" s="3" t="s">
        <v>13</v>
      </c>
    </row>
    <row r="29" spans="1:8" ht="12" customHeight="1" x14ac:dyDescent="0.25">
      <c r="A29" s="2">
        <v>45564</v>
      </c>
      <c r="B29" s="10">
        <f>MONTH(Tabela1[[#This Row],[Data]])</f>
        <v>9</v>
      </c>
      <c r="C29" s="3" t="s">
        <v>5</v>
      </c>
      <c r="D29" s="3" t="s">
        <v>30</v>
      </c>
      <c r="E29" s="4" t="s">
        <v>49</v>
      </c>
      <c r="F29" s="4">
        <v>400</v>
      </c>
      <c r="G29" s="3" t="s">
        <v>12</v>
      </c>
      <c r="H29" s="3" t="s">
        <v>9</v>
      </c>
    </row>
    <row r="30" spans="1:8" ht="12" customHeight="1" x14ac:dyDescent="0.25">
      <c r="A30" s="2">
        <v>45566</v>
      </c>
      <c r="B30" s="10">
        <f>MONTH(Tabela1[[#This Row],[Data]])</f>
        <v>10</v>
      </c>
      <c r="C30" s="3" t="s">
        <v>0</v>
      </c>
      <c r="D30" s="3" t="s">
        <v>1</v>
      </c>
      <c r="E30" s="3" t="s">
        <v>2</v>
      </c>
      <c r="F30" s="4">
        <v>5000</v>
      </c>
      <c r="G30" s="3" t="s">
        <v>3</v>
      </c>
      <c r="H30" s="3" t="s">
        <v>4</v>
      </c>
    </row>
    <row r="31" spans="1:8" ht="12" customHeight="1" x14ac:dyDescent="0.25">
      <c r="A31" s="2">
        <v>45566</v>
      </c>
      <c r="B31" s="10">
        <f>MONTH(Tabela1[[#This Row],[Data]])</f>
        <v>10</v>
      </c>
      <c r="C31" s="3" t="s">
        <v>5</v>
      </c>
      <c r="D31" s="3" t="s">
        <v>6</v>
      </c>
      <c r="E31" s="3" t="s">
        <v>7</v>
      </c>
      <c r="F31" s="4">
        <v>600</v>
      </c>
      <c r="G31" s="3" t="s">
        <v>8</v>
      </c>
      <c r="H31" s="3" t="s">
        <v>9</v>
      </c>
    </row>
    <row r="32" spans="1:8" ht="12" customHeight="1" x14ac:dyDescent="0.25">
      <c r="A32" s="2">
        <v>45568</v>
      </c>
      <c r="B32" s="10">
        <f>MONTH(Tabela1[[#This Row],[Data]])</f>
        <v>10</v>
      </c>
      <c r="C32" s="3" t="s">
        <v>5</v>
      </c>
      <c r="D32" s="3" t="s">
        <v>10</v>
      </c>
      <c r="E32" s="3" t="s">
        <v>50</v>
      </c>
      <c r="F32" s="4">
        <v>200</v>
      </c>
      <c r="G32" s="3" t="s">
        <v>12</v>
      </c>
      <c r="H32" s="3" t="s">
        <v>13</v>
      </c>
    </row>
    <row r="33" spans="1:8" ht="12" customHeight="1" x14ac:dyDescent="0.25">
      <c r="A33" s="2">
        <v>45570</v>
      </c>
      <c r="B33" s="10">
        <f>MONTH(Tabela1[[#This Row],[Data]])</f>
        <v>10</v>
      </c>
      <c r="C33" s="3" t="s">
        <v>5</v>
      </c>
      <c r="D33" s="3" t="s">
        <v>14</v>
      </c>
      <c r="E33" s="3" t="s">
        <v>51</v>
      </c>
      <c r="F33" s="4">
        <v>180</v>
      </c>
      <c r="G33" s="3" t="s">
        <v>3</v>
      </c>
      <c r="H33" s="3" t="s">
        <v>13</v>
      </c>
    </row>
    <row r="34" spans="1:8" ht="12" customHeight="1" x14ac:dyDescent="0.25">
      <c r="A34" s="2">
        <v>45573</v>
      </c>
      <c r="B34" s="10">
        <f>MONTH(Tabela1[[#This Row],[Data]])</f>
        <v>10</v>
      </c>
      <c r="C34" s="3" t="s">
        <v>5</v>
      </c>
      <c r="D34" s="3" t="s">
        <v>16</v>
      </c>
      <c r="E34" s="3" t="s">
        <v>52</v>
      </c>
      <c r="F34" s="4">
        <v>120</v>
      </c>
      <c r="G34" s="3" t="s">
        <v>8</v>
      </c>
      <c r="H34" s="3" t="s">
        <v>9</v>
      </c>
    </row>
    <row r="35" spans="1:8" ht="12" customHeight="1" x14ac:dyDescent="0.25">
      <c r="A35" s="2">
        <v>45575</v>
      </c>
      <c r="B35" s="10">
        <f>MONTH(Tabela1[[#This Row],[Data]])</f>
        <v>10</v>
      </c>
      <c r="C35" s="3" t="s">
        <v>5</v>
      </c>
      <c r="D35" s="3" t="s">
        <v>18</v>
      </c>
      <c r="E35" s="3" t="s">
        <v>53</v>
      </c>
      <c r="F35" s="4">
        <v>350</v>
      </c>
      <c r="G35" s="3" t="s">
        <v>12</v>
      </c>
      <c r="H35" s="3" t="s">
        <v>9</v>
      </c>
    </row>
    <row r="36" spans="1:8" ht="12" customHeight="1" x14ac:dyDescent="0.25">
      <c r="A36" s="2">
        <v>45578</v>
      </c>
      <c r="B36" s="10">
        <f>MONTH(Tabela1[[#This Row],[Data]])</f>
        <v>10</v>
      </c>
      <c r="C36" s="3" t="s">
        <v>5</v>
      </c>
      <c r="D36" s="3" t="s">
        <v>20</v>
      </c>
      <c r="E36" s="3" t="s">
        <v>54</v>
      </c>
      <c r="F36" s="4">
        <v>400</v>
      </c>
      <c r="G36" s="3" t="s">
        <v>3</v>
      </c>
      <c r="H36" s="3" t="s">
        <v>13</v>
      </c>
    </row>
    <row r="37" spans="1:8" ht="12" customHeight="1" x14ac:dyDescent="0.25">
      <c r="A37" s="2">
        <v>45580</v>
      </c>
      <c r="B37" s="10">
        <f>MONTH(Tabela1[[#This Row],[Data]])</f>
        <v>10</v>
      </c>
      <c r="C37" s="3" t="s">
        <v>5</v>
      </c>
      <c r="D37" s="3" t="s">
        <v>24</v>
      </c>
      <c r="E37" s="3" t="s">
        <v>55</v>
      </c>
      <c r="F37" s="4">
        <v>450</v>
      </c>
      <c r="G37" s="3" t="s">
        <v>8</v>
      </c>
      <c r="H37" s="3" t="s">
        <v>13</v>
      </c>
    </row>
    <row r="38" spans="1:8" ht="12" customHeight="1" x14ac:dyDescent="0.25">
      <c r="A38" s="2">
        <v>45583</v>
      </c>
      <c r="B38" s="10">
        <f>MONTH(Tabela1[[#This Row],[Data]])</f>
        <v>10</v>
      </c>
      <c r="C38" s="3" t="s">
        <v>0</v>
      </c>
      <c r="D38" s="3" t="s">
        <v>56</v>
      </c>
      <c r="E38" s="3" t="s">
        <v>57</v>
      </c>
      <c r="F38" s="4">
        <v>1500</v>
      </c>
      <c r="G38" s="3" t="s">
        <v>3</v>
      </c>
      <c r="H38" s="3" t="s">
        <v>4</v>
      </c>
    </row>
    <row r="39" spans="1:8" ht="12" customHeight="1" x14ac:dyDescent="0.25">
      <c r="A39" s="2">
        <v>45583</v>
      </c>
      <c r="B39" s="10">
        <f>MONTH(Tabela1[[#This Row],[Data]])</f>
        <v>10</v>
      </c>
      <c r="C39" s="3" t="s">
        <v>5</v>
      </c>
      <c r="D39" s="3" t="s">
        <v>26</v>
      </c>
      <c r="E39" s="3" t="s">
        <v>58</v>
      </c>
      <c r="F39" s="4">
        <v>300</v>
      </c>
      <c r="G39" s="3" t="s">
        <v>12</v>
      </c>
      <c r="H39" s="3" t="s">
        <v>9</v>
      </c>
    </row>
    <row r="40" spans="1:8" ht="12" customHeight="1" x14ac:dyDescent="0.25">
      <c r="A40" s="2">
        <v>45585</v>
      </c>
      <c r="B40" s="10">
        <f>MONTH(Tabela1[[#This Row],[Data]])</f>
        <v>10</v>
      </c>
      <c r="C40" s="3" t="s">
        <v>5</v>
      </c>
      <c r="D40" s="3" t="s">
        <v>28</v>
      </c>
      <c r="E40" s="3" t="s">
        <v>59</v>
      </c>
      <c r="F40" s="4">
        <v>800</v>
      </c>
      <c r="G40" s="3" t="s">
        <v>3</v>
      </c>
      <c r="H40" s="3" t="s">
        <v>13</v>
      </c>
    </row>
    <row r="41" spans="1:8" ht="12" customHeight="1" x14ac:dyDescent="0.25">
      <c r="A41" s="2">
        <v>45587</v>
      </c>
      <c r="B41" s="10">
        <f>MONTH(Tabela1[[#This Row],[Data]])</f>
        <v>10</v>
      </c>
      <c r="C41" s="3" t="s">
        <v>5</v>
      </c>
      <c r="D41" s="3" t="s">
        <v>30</v>
      </c>
      <c r="E41" s="3" t="s">
        <v>60</v>
      </c>
      <c r="F41" s="4">
        <v>250</v>
      </c>
      <c r="G41" s="3" t="s">
        <v>12</v>
      </c>
      <c r="H41" s="3" t="s">
        <v>9</v>
      </c>
    </row>
    <row r="42" spans="1:8" ht="12" customHeight="1" x14ac:dyDescent="0.25">
      <c r="A42" s="2">
        <v>45589</v>
      </c>
      <c r="B42" s="10">
        <f>MONTH(Tabela1[[#This Row],[Data]])</f>
        <v>10</v>
      </c>
      <c r="C42" s="3" t="s">
        <v>5</v>
      </c>
      <c r="D42" s="3" t="s">
        <v>34</v>
      </c>
      <c r="E42" s="3" t="s">
        <v>61</v>
      </c>
      <c r="F42" s="4">
        <v>150</v>
      </c>
      <c r="G42" s="3" t="s">
        <v>8</v>
      </c>
      <c r="H42" s="3" t="s">
        <v>13</v>
      </c>
    </row>
    <row r="43" spans="1:8" ht="12" customHeight="1" x14ac:dyDescent="0.25">
      <c r="A43" s="2">
        <v>45591</v>
      </c>
      <c r="B43" s="10">
        <f>MONTH(Tabela1[[#This Row],[Data]])</f>
        <v>10</v>
      </c>
      <c r="C43" s="3" t="s">
        <v>5</v>
      </c>
      <c r="D43" s="3" t="s">
        <v>32</v>
      </c>
      <c r="E43" s="3" t="s">
        <v>62</v>
      </c>
      <c r="F43" s="4">
        <v>250</v>
      </c>
      <c r="G43" s="3" t="s">
        <v>3</v>
      </c>
      <c r="H43" s="3" t="s">
        <v>9</v>
      </c>
    </row>
    <row r="44" spans="1:8" ht="12" customHeight="1" x14ac:dyDescent="0.25">
      <c r="A44" s="2">
        <v>45595</v>
      </c>
      <c r="B44" s="10">
        <f>MONTH(Tabela1[[#This Row],[Data]])</f>
        <v>10</v>
      </c>
      <c r="C44" s="3" t="s">
        <v>5</v>
      </c>
      <c r="D44" s="3" t="s">
        <v>38</v>
      </c>
      <c r="E44" s="3" t="s">
        <v>63</v>
      </c>
      <c r="F44" s="4">
        <v>220</v>
      </c>
      <c r="G44" s="3" t="s">
        <v>3</v>
      </c>
      <c r="H44" s="3" t="s">
        <v>9</v>
      </c>
    </row>
    <row r="45" spans="1:8" ht="12" customHeight="1" x14ac:dyDescent="0.25">
      <c r="A45" s="2">
        <v>45596</v>
      </c>
      <c r="B45" s="10">
        <f>MONTH(Tabela1[[#This Row],[Data]])</f>
        <v>10</v>
      </c>
      <c r="C45" s="3" t="s">
        <v>5</v>
      </c>
      <c r="D45" s="3" t="s">
        <v>36</v>
      </c>
      <c r="E45" s="3" t="s">
        <v>64</v>
      </c>
      <c r="F45" s="4">
        <v>500</v>
      </c>
      <c r="G45" s="3" t="s">
        <v>12</v>
      </c>
      <c r="H45" s="3" t="s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5BA7-8263-4073-A161-41A7628999B0}">
  <sheetPr>
    <tabColor theme="8" tint="0.79998168889431442"/>
  </sheetPr>
  <dimension ref="A1:N19"/>
  <sheetViews>
    <sheetView showGridLines="0" workbookViewId="0">
      <selection activeCell="Q18" sqref="Q18"/>
    </sheetView>
  </sheetViews>
  <sheetFormatPr defaultRowHeight="15" x14ac:dyDescent="0.25"/>
  <cols>
    <col min="1" max="1" width="20.85546875" bestFit="1" customWidth="1"/>
    <col min="2" max="2" width="13.85546875" bestFit="1" customWidth="1"/>
    <col min="3" max="7" width="10.7109375" bestFit="1" customWidth="1"/>
    <col min="8" max="8" width="18" bestFit="1" customWidth="1"/>
    <col min="9" max="9" width="13.85546875" bestFit="1" customWidth="1"/>
    <col min="10" max="13" width="10.7109375" bestFit="1" customWidth="1"/>
    <col min="14" max="14" width="11.7109375" bestFit="1" customWidth="1"/>
    <col min="15" max="22" width="10.7109375" bestFit="1" customWidth="1"/>
    <col min="23" max="23" width="12.140625" bestFit="1" customWidth="1"/>
    <col min="24" max="39" width="10.7109375" bestFit="1" customWidth="1"/>
    <col min="40" max="41" width="13.28515625" bestFit="1" customWidth="1"/>
  </cols>
  <sheetData>
    <row r="1" spans="1:14" x14ac:dyDescent="0.25">
      <c r="A1" s="7" t="s">
        <v>66</v>
      </c>
      <c r="B1" t="s">
        <v>5</v>
      </c>
      <c r="H1" s="7" t="s">
        <v>66</v>
      </c>
      <c r="I1" t="s">
        <v>0</v>
      </c>
    </row>
    <row r="2" spans="1:14" x14ac:dyDescent="0.25">
      <c r="M2" t="s">
        <v>77</v>
      </c>
    </row>
    <row r="3" spans="1:14" x14ac:dyDescent="0.25">
      <c r="A3" s="7" t="s">
        <v>72</v>
      </c>
      <c r="B3" t="s">
        <v>74</v>
      </c>
      <c r="H3" s="7" t="s">
        <v>72</v>
      </c>
      <c r="I3" t="s">
        <v>74</v>
      </c>
      <c r="M3" t="s">
        <v>78</v>
      </c>
      <c r="N3" s="16">
        <f>VLOOKUP("Total Geral",H:I,2,0)</f>
        <v>18500</v>
      </c>
    </row>
    <row r="4" spans="1:14" x14ac:dyDescent="0.25">
      <c r="A4" s="8" t="s">
        <v>6</v>
      </c>
      <c r="B4" s="9">
        <v>1600</v>
      </c>
      <c r="H4" s="8" t="s">
        <v>43</v>
      </c>
      <c r="I4" s="9">
        <v>1200</v>
      </c>
      <c r="M4" t="s">
        <v>79</v>
      </c>
      <c r="N4" s="16">
        <f>VLOOKUP("Total Geral",A:B,2,0)</f>
        <v>15700</v>
      </c>
    </row>
    <row r="5" spans="1:14" x14ac:dyDescent="0.25">
      <c r="A5" s="8" t="s">
        <v>32</v>
      </c>
      <c r="B5" s="9">
        <v>330</v>
      </c>
      <c r="H5" s="8" t="s">
        <v>22</v>
      </c>
      <c r="I5" s="9">
        <v>800</v>
      </c>
      <c r="M5" t="s">
        <v>77</v>
      </c>
      <c r="N5" s="16">
        <f>N3-N4</f>
        <v>2800</v>
      </c>
    </row>
    <row r="6" spans="1:14" x14ac:dyDescent="0.25">
      <c r="A6" s="8" t="s">
        <v>18</v>
      </c>
      <c r="B6" s="9">
        <v>1100</v>
      </c>
      <c r="H6" s="8" t="s">
        <v>1</v>
      </c>
      <c r="I6" s="9">
        <v>15000</v>
      </c>
    </row>
    <row r="7" spans="1:14" x14ac:dyDescent="0.25">
      <c r="A7" s="8" t="s">
        <v>26</v>
      </c>
      <c r="B7" s="9">
        <v>3000</v>
      </c>
      <c r="H7" s="8" t="s">
        <v>56</v>
      </c>
      <c r="I7" s="9">
        <v>1500</v>
      </c>
    </row>
    <row r="8" spans="1:14" x14ac:dyDescent="0.25">
      <c r="A8" s="8" t="s">
        <v>38</v>
      </c>
      <c r="B8" s="9">
        <v>570</v>
      </c>
      <c r="H8" s="8" t="s">
        <v>73</v>
      </c>
      <c r="I8" s="9">
        <v>18500</v>
      </c>
    </row>
    <row r="9" spans="1:14" x14ac:dyDescent="0.25">
      <c r="A9" s="8" t="s">
        <v>14</v>
      </c>
      <c r="B9" s="9">
        <v>500</v>
      </c>
    </row>
    <row r="10" spans="1:14" x14ac:dyDescent="0.25">
      <c r="A10" s="8" t="s">
        <v>34</v>
      </c>
      <c r="B10" s="9">
        <v>350</v>
      </c>
    </row>
    <row r="11" spans="1:14" x14ac:dyDescent="0.25">
      <c r="A11" s="8" t="s">
        <v>30</v>
      </c>
      <c r="B11" s="9">
        <v>830</v>
      </c>
    </row>
    <row r="12" spans="1:14" x14ac:dyDescent="0.25">
      <c r="A12" s="8" t="s">
        <v>16</v>
      </c>
      <c r="B12" s="9">
        <v>970</v>
      </c>
    </row>
    <row r="13" spans="1:14" x14ac:dyDescent="0.25">
      <c r="A13" s="8" t="s">
        <v>24</v>
      </c>
      <c r="B13" s="9">
        <v>1400</v>
      </c>
    </row>
    <row r="14" spans="1:14" x14ac:dyDescent="0.25">
      <c r="A14" s="8" t="s">
        <v>10</v>
      </c>
      <c r="B14" s="9">
        <v>800</v>
      </c>
    </row>
    <row r="15" spans="1:14" x14ac:dyDescent="0.25">
      <c r="A15" s="8" t="s">
        <v>47</v>
      </c>
      <c r="B15" s="9">
        <v>250</v>
      </c>
    </row>
    <row r="16" spans="1:14" x14ac:dyDescent="0.25">
      <c r="A16" s="8" t="s">
        <v>28</v>
      </c>
      <c r="B16" s="9">
        <v>1250</v>
      </c>
    </row>
    <row r="17" spans="1:2" x14ac:dyDescent="0.25">
      <c r="A17" s="8" t="s">
        <v>20</v>
      </c>
      <c r="B17" s="9">
        <v>1500</v>
      </c>
    </row>
    <row r="18" spans="1:2" x14ac:dyDescent="0.25">
      <c r="A18" s="8" t="s">
        <v>36</v>
      </c>
      <c r="B18" s="9">
        <v>1250</v>
      </c>
    </row>
    <row r="19" spans="1:2" x14ac:dyDescent="0.25">
      <c r="A19" s="8" t="s">
        <v>73</v>
      </c>
      <c r="B19" s="9">
        <v>15700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BD04-D19F-434D-B03F-93236070B62D}">
  <sheetPr>
    <tabColor theme="8" tint="0.79998168889431442"/>
  </sheetPr>
  <dimension ref="B4:C22"/>
  <sheetViews>
    <sheetView showGridLines="0" workbookViewId="0">
      <selection activeCell="B1" sqref="B1"/>
    </sheetView>
  </sheetViews>
  <sheetFormatPr defaultRowHeight="15" x14ac:dyDescent="0.25"/>
  <cols>
    <col min="2" max="2" width="21" customWidth="1"/>
    <col min="3" max="3" width="20.85546875" customWidth="1"/>
  </cols>
  <sheetData>
    <row r="4" spans="2:3" x14ac:dyDescent="0.25">
      <c r="B4" s="22" t="s">
        <v>83</v>
      </c>
      <c r="C4" s="15">
        <f>SUM(Tabela3[Depósito Reservado])</f>
        <v>6326</v>
      </c>
    </row>
    <row r="5" spans="2:3" x14ac:dyDescent="0.25">
      <c r="B5" s="22" t="s">
        <v>84</v>
      </c>
      <c r="C5" s="15">
        <v>20000</v>
      </c>
    </row>
    <row r="6" spans="2:3" x14ac:dyDescent="0.25">
      <c r="C6" s="15"/>
    </row>
    <row r="8" spans="2:3" x14ac:dyDescent="0.25">
      <c r="B8" t="s">
        <v>85</v>
      </c>
      <c r="C8" t="s">
        <v>86</v>
      </c>
    </row>
    <row r="9" spans="2:3" x14ac:dyDescent="0.25">
      <c r="B9" s="23">
        <v>45519</v>
      </c>
      <c r="C9" s="15">
        <v>500</v>
      </c>
    </row>
    <row r="10" spans="2:3" x14ac:dyDescent="0.25">
      <c r="B10" s="23">
        <v>45531</v>
      </c>
      <c r="C10" s="15">
        <v>100</v>
      </c>
    </row>
    <row r="11" spans="2:3" x14ac:dyDescent="0.25">
      <c r="B11" s="23">
        <v>45545</v>
      </c>
      <c r="C11" s="15">
        <v>948</v>
      </c>
    </row>
    <row r="12" spans="2:3" x14ac:dyDescent="0.25">
      <c r="B12" s="23">
        <v>45555</v>
      </c>
      <c r="C12" s="15">
        <v>669</v>
      </c>
    </row>
    <row r="13" spans="2:3" x14ac:dyDescent="0.25">
      <c r="B13" s="23">
        <v>45572</v>
      </c>
      <c r="C13" s="15">
        <v>471</v>
      </c>
    </row>
    <row r="14" spans="2:3" x14ac:dyDescent="0.25">
      <c r="B14" s="23">
        <v>45583</v>
      </c>
      <c r="C14" s="15">
        <v>221</v>
      </c>
    </row>
    <row r="15" spans="2:3" x14ac:dyDescent="0.25">
      <c r="B15" s="23">
        <v>45590</v>
      </c>
      <c r="C15" s="15">
        <v>839</v>
      </c>
    </row>
    <row r="16" spans="2:3" x14ac:dyDescent="0.25">
      <c r="B16" s="23">
        <v>45601</v>
      </c>
      <c r="C16" s="15">
        <v>676</v>
      </c>
    </row>
    <row r="17" spans="2:3" x14ac:dyDescent="0.25">
      <c r="B17" s="23">
        <v>45604</v>
      </c>
      <c r="C17" s="15">
        <v>132</v>
      </c>
    </row>
    <row r="18" spans="2:3" x14ac:dyDescent="0.25">
      <c r="B18" s="23">
        <v>45610</v>
      </c>
      <c r="C18" s="15">
        <v>505</v>
      </c>
    </row>
    <row r="19" spans="2:3" x14ac:dyDescent="0.25">
      <c r="B19" s="23">
        <v>45616</v>
      </c>
      <c r="C19" s="15">
        <v>209</v>
      </c>
    </row>
    <row r="20" spans="2:3" x14ac:dyDescent="0.25">
      <c r="B20" s="23">
        <v>45617</v>
      </c>
      <c r="C20" s="15">
        <v>342</v>
      </c>
    </row>
    <row r="21" spans="2:3" x14ac:dyDescent="0.25">
      <c r="B21" s="23">
        <v>45618</v>
      </c>
      <c r="C21" s="15">
        <v>410</v>
      </c>
    </row>
    <row r="22" spans="2:3" x14ac:dyDescent="0.25">
      <c r="B22" s="23">
        <v>45619</v>
      </c>
      <c r="C22" s="15">
        <v>304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6957-FD82-4179-8E0A-FCDDCCBA2753}">
  <dimension ref="A2:N17"/>
  <sheetViews>
    <sheetView showGridLines="0" showRowColHeaders="0" tabSelected="1" zoomScale="80" zoomScaleNormal="80" workbookViewId="0"/>
  </sheetViews>
  <sheetFormatPr defaultRowHeight="15" x14ac:dyDescent="0.25"/>
  <cols>
    <col min="1" max="1" width="24.85546875" style="12" customWidth="1"/>
    <col min="2" max="12" width="9.140625" style="11"/>
    <col min="13" max="13" width="16.85546875" style="11" customWidth="1"/>
    <col min="14" max="14" width="18.140625" style="11" bestFit="1" customWidth="1"/>
    <col min="15" max="16384" width="9.140625" style="11"/>
  </cols>
  <sheetData>
    <row r="2" spans="1:14" s="13" customFormat="1" ht="63.75" customHeight="1" x14ac:dyDescent="0.25">
      <c r="A2" s="12"/>
      <c r="C2" s="14" t="s">
        <v>76</v>
      </c>
    </row>
    <row r="14" spans="1:14" ht="21" x14ac:dyDescent="0.35">
      <c r="M14" s="20" t="s">
        <v>80</v>
      </c>
      <c r="N14" s="18">
        <f>Controller!N3</f>
        <v>18500</v>
      </c>
    </row>
    <row r="15" spans="1:14" ht="21" x14ac:dyDescent="0.35">
      <c r="M15" s="21" t="s">
        <v>87</v>
      </c>
      <c r="N15" s="18">
        <f>Controller!N4</f>
        <v>15700</v>
      </c>
    </row>
    <row r="16" spans="1:14" ht="21" x14ac:dyDescent="0.35">
      <c r="M16" s="17" t="s">
        <v>81</v>
      </c>
      <c r="N16" s="18">
        <f>Controller!N5</f>
        <v>2800</v>
      </c>
    </row>
    <row r="17" spans="13:13" x14ac:dyDescent="0.25">
      <c r="M17" s="19" t="s">
        <v>82</v>
      </c>
    </row>
  </sheetData>
  <conditionalFormatting sqref="N14:N1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{B84B7310-AA2C-4C6C-B7DC-A8405220B6C5}</x14:id>
        </ext>
      </extLst>
    </cfRule>
  </conditionalFormatting>
  <pageMargins left="0.511811024" right="0.511811024" top="0.78740157499999996" bottom="0.78740157499999996" header="0.31496062000000002" footer="0.31496062000000002"/>
  <pageSetup paperSize="9" scale="46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4B7310-AA2C-4C6C-B7DC-A8405220B6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N14:N16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4963D8E4-1D6C-4FCF-8D1D-F56D49A3BA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DA261A-E008-49B4-91DC-52FE5A914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9E30B-54D8-4CE8-A6E5-E0A6CC213332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Dados</vt:lpstr>
      <vt:lpstr>Controller</vt:lpstr>
      <vt:lpstr>Caixinha</vt:lpstr>
      <vt:lpstr>Dashboard</vt:lpstr>
      <vt:lpstr>entrada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>Beatriz Liscano Rech</cp:lastModifiedBy>
  <cp:revision/>
  <dcterms:created xsi:type="dcterms:W3CDTF">2015-06-05T18:19:34Z</dcterms:created>
  <dcterms:modified xsi:type="dcterms:W3CDTF">2025-01-30T01:22:36Z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